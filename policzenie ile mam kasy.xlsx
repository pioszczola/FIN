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<sst xmlns="http://schemas.openxmlformats.org/spreadsheetml/2006/main" count="33" uniqueCount="28">
  <si>
    <t>Dostępne franki</t>
  </si>
  <si>
    <t>Wydatki</t>
  </si>
  <si>
    <t>Szanse na drugie wspólne</t>
  </si>
  <si>
    <t>dostepne euro</t>
  </si>
  <si>
    <t>Opis</t>
  </si>
  <si>
    <t>Kwota</t>
  </si>
  <si>
    <t>zostało czasu</t>
  </si>
  <si>
    <t>dostepne zlote</t>
  </si>
  <si>
    <t>Kurs CHF</t>
  </si>
  <si>
    <t>Obecnie na wspólnym</t>
  </si>
  <si>
    <t>Kurs EUR</t>
  </si>
  <si>
    <t>wspólne</t>
  </si>
  <si>
    <t>d</t>
  </si>
  <si>
    <t>zostało na wspólnym</t>
  </si>
  <si>
    <t>wspolne 2</t>
  </si>
  <si>
    <t>Franki</t>
  </si>
  <si>
    <t>spłata karty</t>
  </si>
  <si>
    <t>Euro</t>
  </si>
  <si>
    <t>terapia</t>
  </si>
  <si>
    <t>Suma franków i Euro</t>
  </si>
  <si>
    <t>Suma poprzednich i PLN</t>
  </si>
  <si>
    <t>ZUS</t>
  </si>
  <si>
    <t>Po wydatkach</t>
  </si>
  <si>
    <t>Podatki</t>
  </si>
  <si>
    <t>ipad bateria</t>
  </si>
  <si>
    <t>Suma wydatków</t>
  </si>
  <si>
    <t>diablo</t>
  </si>
  <si>
    <t>able carry edc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</si>
</sst>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111517"/>
      <name val="Arial"/>
      <scheme val="minor"/>
    </font>
    <font>
      <b/>
      <color theme="1"/>
      <name val="Arial"/>
      <scheme val="minor"/>
    </font>
    <font>
      <b/>
      <color rgb="FFFF9900"/>
      <name val="Arial"/>
      <scheme val="minor"/>
    </font>
    <font>
      <color rgb="FF201C17"/>
      <name val="Arial"/>
    </font>
    <font>
      <sz val="12.0"/>
      <color rgb="FF17191A"/>
      <name val="Poppins"/>
    </font>
    <font>
      <color rgb="FF00613E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0F5F5"/>
        <bgColor rgb="FFF0F5F5"/>
      </patternFill>
    </fill>
  </fills>
  <borders count="2">
    <border/>
    <border>
      <top style="thin">
        <color rgb="FFE6ECED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0" xfId="0" applyFont="1" applyNumberFormat="1"/>
    <xf borderId="0" fillId="2" fontId="2" numFmtId="0" xfId="0" applyAlignment="1" applyFont="1">
      <alignment readingOrder="0"/>
    </xf>
    <xf borderId="0" fillId="0" fontId="1" numFmtId="0" xfId="0" applyFont="1"/>
    <xf borderId="0" fillId="0" fontId="2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3" fontId="5" numFmtId="0" xfId="0" applyAlignment="1" applyFill="1" applyFont="1">
      <alignment readingOrder="0"/>
    </xf>
    <xf borderId="0" fillId="0" fontId="1" numFmtId="4" xfId="0" applyFont="1" applyNumberFormat="1"/>
    <xf borderId="1" fillId="4" fontId="6" numFmtId="0" xfId="0" applyAlignment="1" applyBorder="1" applyFill="1" applyFont="1">
      <alignment horizontal="right" readingOrder="0"/>
    </xf>
    <xf borderId="1" fillId="4" fontId="6" numFmtId="0" xfId="0" applyAlignment="1" applyBorder="1" applyFont="1">
      <alignment horizontal="right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5" max="5" width="22.0"/>
    <col customWidth="1" min="6" max="6" width="8.63"/>
    <col customWidth="1" min="7" max="7" width="25.88"/>
    <col customWidth="1" min="8" max="8" width="20.5"/>
    <col customWidth="1" min="9" max="9" width="16.5"/>
  </cols>
  <sheetData>
    <row r="1">
      <c r="A1" s="1" t="s">
        <v>0</v>
      </c>
      <c r="B1" s="2">
        <v>5305.0</v>
      </c>
      <c r="E1" s="1" t="s">
        <v>1</v>
      </c>
      <c r="H1" s="1" t="s">
        <v>2</v>
      </c>
    </row>
    <row r="2">
      <c r="A2" s="1" t="s">
        <v>3</v>
      </c>
      <c r="B2" s="2">
        <v>5000.0</v>
      </c>
      <c r="E2" s="1" t="s">
        <v>4</v>
      </c>
      <c r="F2" s="1" t="s">
        <v>5</v>
      </c>
      <c r="H2" s="3">
        <f>(EOMONTH(TODAY(), 0) - TODAY())/(DAY(EOMONTH(TODAY(), 0)))</f>
        <v>0.1290322581</v>
      </c>
      <c r="I2" s="1" t="s">
        <v>6</v>
      </c>
    </row>
    <row r="3">
      <c r="A3" s="1" t="s">
        <v>7</v>
      </c>
      <c r="B3" s="4">
        <v>1500.0</v>
      </c>
    </row>
    <row r="4">
      <c r="A4" s="1" t="s">
        <v>8</v>
      </c>
      <c r="B4" s="5">
        <f>IFERROR(__xludf.DUMMYFUNCTION("GOOGLEFINANCE(""CURRENCY:CHFEUR"") * GOOGLEFINANCE(""CURRENCY:EURPLN"")"),4.6667144917)</f>
        <v>4.666714492</v>
      </c>
      <c r="H4" s="1" t="s">
        <v>9</v>
      </c>
    </row>
    <row r="5">
      <c r="A5" s="1" t="s">
        <v>10</v>
      </c>
      <c r="B5" s="5">
        <f>IFERROR(__xludf.DUMMYFUNCTION("GOOGLEFINANCE(""CURRENCY:EURPLN"")"),4.28599)</f>
        <v>4.28599</v>
      </c>
      <c r="H5" s="1">
        <v>1063.0</v>
      </c>
    </row>
    <row r="6">
      <c r="E6" s="1" t="s">
        <v>11</v>
      </c>
      <c r="F6" s="1">
        <v>8400.0</v>
      </c>
      <c r="G6" s="1" t="s">
        <v>12</v>
      </c>
      <c r="H6" s="3">
        <f>H5/10000</f>
        <v>0.1063</v>
      </c>
      <c r="I6" s="1" t="s">
        <v>13</v>
      </c>
    </row>
    <row r="7">
      <c r="E7" s="1" t="s">
        <v>14</v>
      </c>
      <c r="F7" s="1">
        <v>8400.0</v>
      </c>
      <c r="G7" s="1" t="s">
        <v>12</v>
      </c>
    </row>
    <row r="8">
      <c r="A8" s="1" t="s">
        <v>15</v>
      </c>
      <c r="B8" s="5">
        <f t="shared" ref="B8:B9" si="1">B1*B4</f>
        <v>24756.92038</v>
      </c>
      <c r="E8" s="1" t="s">
        <v>16</v>
      </c>
      <c r="F8" s="1">
        <f>21200-G8</f>
        <v>4200</v>
      </c>
      <c r="G8" s="1">
        <v>17000.0</v>
      </c>
    </row>
    <row r="9">
      <c r="A9" s="1" t="s">
        <v>17</v>
      </c>
      <c r="B9" s="5">
        <f t="shared" si="1"/>
        <v>21429.95</v>
      </c>
      <c r="E9" s="1" t="s">
        <v>18</v>
      </c>
      <c r="F9" s="6">
        <v>400.0</v>
      </c>
    </row>
    <row r="10">
      <c r="A10" s="1" t="s">
        <v>19</v>
      </c>
      <c r="B10" s="5">
        <f>B8+B9</f>
        <v>46186.87038</v>
      </c>
      <c r="F10" s="7"/>
    </row>
    <row r="11">
      <c r="A11" s="1" t="s">
        <v>20</v>
      </c>
      <c r="B11" s="8">
        <f>B10+B3</f>
        <v>47686.87038</v>
      </c>
      <c r="E11" s="1" t="s">
        <v>21</v>
      </c>
      <c r="F11" s="7">
        <v>3500.0</v>
      </c>
      <c r="G11" s="1" t="s">
        <v>12</v>
      </c>
    </row>
    <row r="12">
      <c r="A12" s="1" t="s">
        <v>22</v>
      </c>
      <c r="B12" s="9">
        <f>B11-sumif(G4:G1003,"=",F4:F1003)</f>
        <v>46786.87038</v>
      </c>
      <c r="E12" s="1" t="s">
        <v>23</v>
      </c>
      <c r="F12" s="1">
        <v>4200.0</v>
      </c>
      <c r="G12" s="1" t="s">
        <v>12</v>
      </c>
    </row>
    <row r="13">
      <c r="E13" s="1" t="s">
        <v>24</v>
      </c>
      <c r="F13" s="10">
        <v>1000.0</v>
      </c>
      <c r="G13" s="1" t="s">
        <v>12</v>
      </c>
    </row>
    <row r="14">
      <c r="A14" s="1" t="s">
        <v>25</v>
      </c>
      <c r="B14" s="11">
        <f>sum(F:F)-F11-F12</f>
        <v>24200</v>
      </c>
    </row>
    <row r="15">
      <c r="E15" s="1" t="s">
        <v>26</v>
      </c>
      <c r="F15" s="1">
        <v>500.0</v>
      </c>
    </row>
    <row r="16">
      <c r="E16" s="1" t="s">
        <v>27</v>
      </c>
      <c r="F16" s="1">
        <v>1300.0</v>
      </c>
      <c r="G16" s="1" t="s">
        <v>12</v>
      </c>
    </row>
    <row r="30">
      <c r="U30" s="12">
        <v>88062.0</v>
      </c>
      <c r="V30" s="13"/>
    </row>
    <row r="31">
      <c r="U31" s="14">
        <v>99211.12</v>
      </c>
    </row>
    <row r="32">
      <c r="U32" s="15"/>
    </row>
    <row r="34">
      <c r="U34" s="5">
        <f>U30/U31</f>
        <v>0.8876222746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G6" s="1">
        <v>2011.0</v>
      </c>
    </row>
    <row r="7">
      <c r="G7" s="1">
        <v>2026.0</v>
      </c>
    </row>
    <row r="8">
      <c r="G8" s="5">
        <f>G7-G6</f>
        <v>15</v>
      </c>
      <c r="H8" s="5">
        <f>G8*12</f>
        <v>180</v>
      </c>
    </row>
  </sheetData>
  <drawing r:id="rId1"/>
</worksheet>
</file>